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3400f777dfe4ae31/_KATHERINE NICOLE BAYAN/1_Portfolio/Data Science Profile/1_Coffee Sales Dashboard/"/>
    </mc:Choice>
  </mc:AlternateContent>
  <xr:revisionPtr revIDLastSave="784" documentId="8_{C26E5431-D9B6-4ED8-B741-130A3259986C}" xr6:coauthVersionLast="47" xr6:coauthVersionMax="47" xr10:uidLastSave="{286AEC91-376A-4E9A-8FD5-0C94D4836F5D}"/>
  <bookViews>
    <workbookView xWindow="-120" yWindow="-120" windowWidth="29040" windowHeight="16440" xr2:uid="{00000000-000D-0000-FFFF-FFFF00000000}"/>
  </bookViews>
  <sheets>
    <sheet name="Dashboard" sheetId="22" r:id="rId1"/>
    <sheet name="TotalSales" sheetId="18" state="hidden" r:id="rId2"/>
    <sheet name="CountryBarChart" sheetId="19" state="hidden"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7" l="1"/>
  <c r="N3" i="17"/>
  <c r="I2" i="17"/>
  <c r="P210"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J2" i="17"/>
  <c r="L2" i="17"/>
  <c r="M2" i="17" s="1"/>
  <c r="N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<sst xmlns="http://schemas.openxmlformats.org/spreadsheetml/2006/main" count="11128" uniqueCount="6221">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</sst>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quot;$&quot;* #,##0.00_-;_-&quot;$&quot;* &quot;-&quot;??_-;_-@_-"/>
    <numFmt numFmtId="164" formatCode="0.0"/>
    <numFmt numFmtId="165" formatCode="dd\-mmm\-yyyy"/>
    <numFmt numFmtId="166" formatCode="0.0\ &quot;kg&quot;"/>
    <numFmt numFmtId="167" formatCode="_-[$$-409]* #,##0.00_ ;_-[$$-409]* \-#,##0.00\ ;_-[$$-409]* &quot;-&quot;??_ ;_-@_ "/>
    <numFmt numFmtId="168" formatCode="#,##0_ ;\-#,##0\ "/>
    <numFmt numFmtId="169"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3">
    <fill>
      <patternFill patternType="none"/>
    </fill>
    <fill>
      <patternFill patternType="gray125"/>
    </fill>
    <fill>
      <patternFill patternType="solid">
        <fgColor rgb="FFE9C6B2"/>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8" fontId="0" fillId="0" borderId="0" xfId="0" applyNumberFormat="1"/>
    <xf numFmtId="169" fontId="0" fillId="0" borderId="0" xfId="0" applyNumberFormat="1"/>
    <xf numFmtId="0" fontId="0" fillId="2" borderId="0" xfId="0" applyFill="1"/>
  </cellXfs>
  <cellStyles count="2">
    <cellStyle name="Currency" xfId="1" builtinId="4"/>
    <cellStyle name="Normal" xfId="0" builtinId="0"/>
  </cellStyles>
  <dxfs count="21">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
    </dxf>
    <dxf>
      <numFmt numFmtId="169" formatCode="&quot;$&quot;#,##0"/>
    </dxf>
    <dxf>
      <font>
        <sz val="11"/>
        <color rgb="FF757E60"/>
        <name val="Aptos Slab Black"/>
        <family val="2"/>
        <scheme val="none"/>
      </font>
    </dxf>
    <dxf>
      <font>
        <b/>
        <i val="0"/>
        <color rgb="FF757E60"/>
        <name val="Aptos Slab"/>
        <family val="2"/>
        <scheme val="none"/>
      </font>
      <fill>
        <patternFill>
          <bgColor rgb="FFE9C6B2"/>
        </patternFill>
      </fill>
      <border>
        <left style="thin">
          <color rgb="FF757E60"/>
        </left>
        <right style="thin">
          <color rgb="FF757E60"/>
        </right>
        <top style="thin">
          <color rgb="FF757E60"/>
        </top>
        <bottom style="thin">
          <color rgb="FF757E60"/>
        </bottom>
      </border>
    </dxf>
    <dxf>
      <font>
        <color rgb="FFE9C6B2"/>
      </font>
      <fill>
        <patternFill>
          <bgColor rgb="FF757E60"/>
        </patternFill>
      </fill>
    </dxf>
    <dxf>
      <font>
        <color rgb="FF757E60"/>
      </font>
      <fill>
        <patternFill>
          <bgColor rgb="FFE9C6B2"/>
        </patternFill>
      </fill>
    </dxf>
    <dxf>
      <font>
        <b/>
        <i val="0"/>
        <sz val="11"/>
        <color rgb="FF757E60"/>
        <name val="Aptos Slab Black"/>
        <family val="2"/>
        <scheme val="none"/>
      </font>
    </dxf>
    <dxf>
      <font>
        <sz val="11"/>
        <color rgb="FF757E60"/>
        <name val="Aptos Slab"/>
        <family val="2"/>
        <scheme val="none"/>
      </font>
      <fill>
        <patternFill patternType="solid">
          <fgColor rgb="FFCE8990"/>
          <bgColor rgb="FFE9C6B2"/>
        </patternFill>
      </fill>
      <border diagonalUp="0" diagonalDown="0">
        <left style="thin">
          <color auto="1"/>
        </left>
        <right style="thin">
          <color auto="1"/>
        </right>
        <top style="thin">
          <color auto="1"/>
        </top>
        <bottom style="thin">
          <color auto="1"/>
        </bottom>
        <vertical/>
        <horizontal/>
      </border>
    </dxf>
    <dxf>
      <font>
        <color rgb="FF757E60"/>
      </font>
    </dxf>
  </dxfs>
  <tableStyles count="4" defaultTableStyle="TableStyleMedium2" defaultPivotStyle="PivotStyleMedium9">
    <tableStyle name="PivotTable Style 1" table="0" count="1" xr9:uid="{5E219450-EDC7-42F8-A8DE-108DAFB5E687}">
      <tableStyleElement type="wholeTable" dxfId="20"/>
    </tableStyle>
    <tableStyle name="Retro Rose Style" pivot="0" table="0" count="9" xr9:uid="{08C98EDF-940C-4F83-BDC7-6E18A5A034D0}">
      <tableStyleElement type="wholeTable" dxfId="19"/>
      <tableStyleElement type="headerRow" dxfId="18"/>
    </tableStyle>
    <tableStyle name="Retro Rose Style PivotTable" table="0" count="2" xr9:uid="{0A065081-02BC-45CA-9CD5-7E823BC572F0}">
      <tableStyleElement type="wholeTable" dxfId="17"/>
      <tableStyleElement type="headerRow" dxfId="16"/>
    </tableStyle>
    <tableStyle name="Slicer Style 1" pivot="0" table="0" count="10" xr9:uid="{A399A74B-E57A-4D41-BF99-BB69043FB9B7}">
      <tableStyleElement type="wholeTable" dxfId="15"/>
      <tableStyleElement type="headerRow" dxfId="14"/>
    </tableStyle>
  </tableStyles>
  <colors>
    <mruColors>
      <color rgb="FFE9C6B2"/>
      <color rgb="FF757E60"/>
      <color rgb="FFEFCCD0"/>
      <color rgb="FFCE8990"/>
      <color rgb="FFFAEDDD"/>
      <color rgb="FFE3AEB4"/>
      <color rgb="FF0000FF"/>
      <color rgb="FFF3E7D7"/>
      <color rgb="FFE6B0B6"/>
    </mruColors>
  </colors>
  <extLst>
    <ext xmlns:x14="http://schemas.microsoft.com/office/spreadsheetml/2009/9/main" uri="{46F421CA-312F-682f-3DD2-61675219B42D}">
      <x14:dxfs count="8">
        <dxf>
          <font>
            <b/>
            <i val="0"/>
            <color rgb="FFCE8990"/>
            <name val="Aptos Slab"/>
            <family val="2"/>
            <scheme val="none"/>
          </font>
          <fill>
            <patternFill>
              <bgColor rgb="FFE3AEB4"/>
            </patternFill>
          </fill>
        </dxf>
        <dxf>
          <font>
            <b/>
            <i val="0"/>
            <color rgb="FF757E60"/>
            <name val="Aptos Slab"/>
            <family val="2"/>
            <scheme val="none"/>
          </font>
        </dxf>
        <dxf>
          <font>
            <b/>
            <i val="0"/>
            <color rgb="FFE9C6B2"/>
            <name val="Aptos Slab"/>
            <family val="2"/>
            <scheme val="none"/>
          </font>
          <fill>
            <patternFill>
              <bgColor rgb="FFCE8990"/>
            </patternFill>
          </fill>
        </dxf>
        <dxf>
          <font>
            <b/>
            <i val="0"/>
            <color rgb="FF757E60"/>
            <name val="Aptos Slab"/>
            <family val="2"/>
          </font>
        </dxf>
        <dxf>
          <font>
            <b/>
            <i val="0"/>
            <color rgb="FFCE8990"/>
            <name val="Aptos Slab"/>
            <family val="2"/>
            <scheme val="none"/>
          </font>
          <fill>
            <patternFill>
              <bgColor rgb="FFE3AEB4"/>
            </patternFill>
          </fill>
        </dxf>
        <dxf>
          <font>
            <b/>
            <i val="0"/>
            <color rgb="FFE9C6B2"/>
            <name val="Aptos Slab"/>
            <family val="2"/>
            <scheme val="none"/>
          </font>
          <fill>
            <patternFill>
              <bgColor rgb="FFCE8990"/>
            </patternFill>
          </fill>
        </dxf>
        <dxf>
          <font>
            <b/>
            <i val="0"/>
            <color rgb="FF757E60"/>
            <name val="Aptos Slab"/>
            <family val="2"/>
            <scheme val="none"/>
          </font>
        </dxf>
        <dxf>
          <font>
            <b/>
            <i val="0"/>
            <color rgb="FF757E60"/>
            <name val="Aptos Slab"/>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757E60"/>
            </patternFill>
          </fill>
        </dxf>
        <dxf>
          <fill>
            <patternFill patternType="solid">
              <fgColor theme="0" tint="-0.14996795556505021"/>
              <bgColor rgb="FFFAEDDD"/>
            </patternFill>
          </fill>
        </dxf>
        <dxf>
          <fill>
            <patternFill patternType="solid">
              <fgColor theme="0"/>
              <bgColor rgb="FFCE8990"/>
            </patternFill>
          </fill>
        </dxf>
        <dxf>
          <font>
            <sz val="9"/>
            <color rgb="FF757E60"/>
            <name val="Aptos Slab"/>
            <family val="2"/>
            <scheme val="none"/>
          </font>
        </dxf>
        <dxf>
          <font>
            <sz val="10"/>
            <color rgb="FF757E60"/>
            <name val="Aptos Slab"/>
            <family val="2"/>
            <scheme val="none"/>
          </font>
        </dxf>
        <dxf>
          <font>
            <b/>
            <i val="0"/>
            <sz val="9"/>
            <color rgb="FF757E60"/>
            <name val="Aptos Slab"/>
            <family val="2"/>
            <scheme val="none"/>
          </font>
        </dxf>
        <dxf>
          <font>
            <b/>
            <i val="0"/>
            <sz val="11"/>
            <color rgb="FF757E60"/>
            <name val="Aptos Slab"/>
            <family val="2"/>
            <scheme val="none"/>
          </font>
        </dxf>
      </x15:dxfs>
    </ext>
    <ext xmlns:x15="http://schemas.microsoft.com/office/spreadsheetml/2010/11/main" uri="{9260A510-F301-46a8-8635-F512D64BE5F5}">
      <x15:timelineStyles defaultTimelineStyle="TimeSlicerStyleLight1">
        <x15:timelineStyle name="Retro Ros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8"/>
  </c:pivotSource>
  <c:chart>
    <c:title>
      <c:tx>
        <c:rich>
          <a:bodyPr rot="0" spcFirstLastPara="1" vertOverflow="ellipsis" vert="horz" wrap="square" anchor="ctr" anchorCtr="1"/>
          <a:lstStyle/>
          <a:p>
            <a:pPr>
              <a:defRPr sz="1400" b="1" i="0" u="none" strike="noStrike" kern="1200" spc="0" baseline="0">
                <a:solidFill>
                  <a:srgbClr val="757E60"/>
                </a:solidFill>
                <a:latin typeface="Aptos Slab" panose="020B0004020202020204" pitchFamily="34" charset="0"/>
                <a:ea typeface="+mn-ea"/>
                <a:cs typeface="+mn-cs"/>
              </a:defRPr>
            </a:pPr>
            <a:r>
              <a:rPr lang="en-PH"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57E60"/>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w="28575" cap="rnd">
            <a:solidFill>
              <a:srgbClr val="757E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E899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9C6B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6B0B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57E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E89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9C6B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6B0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57E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E89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E9C6B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E6B0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57E6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51A-455C-9EDC-A85E79E5E645}"/>
            </c:ext>
          </c:extLst>
        </c:ser>
        <c:ser>
          <c:idx val="1"/>
          <c:order val="1"/>
          <c:tx>
            <c:strRef>
              <c:f>TotalSales!$D$3:$D$4</c:f>
              <c:strCache>
                <c:ptCount val="1"/>
                <c:pt idx="0">
                  <c:v>Excelsa</c:v>
                </c:pt>
              </c:strCache>
            </c:strRef>
          </c:tx>
          <c:spPr>
            <a:ln w="28575" cap="rnd">
              <a:solidFill>
                <a:srgbClr val="CE899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51A-455C-9EDC-A85E79E5E645}"/>
            </c:ext>
          </c:extLst>
        </c:ser>
        <c:ser>
          <c:idx val="2"/>
          <c:order val="2"/>
          <c:tx>
            <c:strRef>
              <c:f>TotalSales!$E$3:$E$4</c:f>
              <c:strCache>
                <c:ptCount val="1"/>
                <c:pt idx="0">
                  <c:v>Liberica</c:v>
                </c:pt>
              </c:strCache>
            </c:strRef>
          </c:tx>
          <c:spPr>
            <a:ln w="28575" cap="rnd">
              <a:solidFill>
                <a:srgbClr val="E9C6B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51A-455C-9EDC-A85E79E5E645}"/>
            </c:ext>
          </c:extLst>
        </c:ser>
        <c:ser>
          <c:idx val="3"/>
          <c:order val="3"/>
          <c:tx>
            <c:strRef>
              <c:f>TotalSales!$F$3:$F$4</c:f>
              <c:strCache>
                <c:ptCount val="1"/>
                <c:pt idx="0">
                  <c:v>Robusta</c:v>
                </c:pt>
              </c:strCache>
            </c:strRef>
          </c:tx>
          <c:spPr>
            <a:ln w="28575" cap="rnd">
              <a:solidFill>
                <a:srgbClr val="E6B0B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51A-455C-9EDC-A85E79E5E645}"/>
            </c:ext>
          </c:extLst>
        </c:ser>
        <c:dLbls>
          <c:showLegendKey val="0"/>
          <c:showVal val="0"/>
          <c:showCatName val="0"/>
          <c:showSerName val="0"/>
          <c:showPercent val="0"/>
          <c:showBubbleSize val="0"/>
        </c:dLbls>
        <c:smooth val="0"/>
        <c:axId val="11271088"/>
        <c:axId val="1778591343"/>
      </c:lineChart>
      <c:catAx>
        <c:axId val="112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57E60"/>
                </a:solidFill>
                <a:latin typeface="Aptos Display" panose="020B0004020202020204" pitchFamily="34" charset="0"/>
                <a:ea typeface="+mn-ea"/>
                <a:cs typeface="+mn-cs"/>
              </a:defRPr>
            </a:pPr>
            <a:endParaRPr lang="en-US"/>
          </a:p>
        </c:txPr>
        <c:crossAx val="1778591343"/>
        <c:crosses val="autoZero"/>
        <c:auto val="1"/>
        <c:lblAlgn val="ctr"/>
        <c:lblOffset val="100"/>
        <c:noMultiLvlLbl val="0"/>
      </c:catAx>
      <c:valAx>
        <c:axId val="1778591343"/>
        <c:scaling>
          <c:orientation val="minMax"/>
        </c:scaling>
        <c:delete val="0"/>
        <c:axPos val="l"/>
        <c:majorGridlines>
          <c:spPr>
            <a:ln w="9525" cap="flat" cmpd="sng" algn="ctr">
              <a:solidFill>
                <a:srgbClr val="EFCCD0"/>
              </a:solidFill>
              <a:round/>
            </a:ln>
            <a:effectLst/>
          </c:spPr>
        </c:majorGridlines>
        <c:title>
          <c:tx>
            <c:rich>
              <a:bodyPr rot="-5400000" spcFirstLastPara="1" vertOverflow="ellipsis" vert="horz" wrap="square" anchor="ctr" anchorCtr="1"/>
              <a:lstStyle/>
              <a:p>
                <a:pPr>
                  <a:defRPr sz="1000" b="0" i="0" u="none" strike="noStrike" kern="1200" baseline="0">
                    <a:solidFill>
                      <a:srgbClr val="757E60"/>
                    </a:solidFill>
                    <a:latin typeface="Aptos Slab" panose="020B0004020202020204" pitchFamily="34" charset="0"/>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57E60"/>
                  </a:solidFill>
                  <a:latin typeface="Aptos Slab" panose="020B0004020202020204" pitchFamily="34" charset="0"/>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crossAx val="1127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DDD"/>
    </a:solidFill>
    <a:ln w="9525" cap="flat" cmpd="sng" algn="ctr">
      <a:solidFill>
        <a:srgbClr val="757E60"/>
      </a:solidFill>
      <a:round/>
    </a:ln>
    <a:effectLst/>
  </c:spPr>
  <c:txPr>
    <a:bodyPr/>
    <a:lstStyle/>
    <a:p>
      <a:pPr>
        <a:defRPr>
          <a:solidFill>
            <a:srgbClr val="757E60"/>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14"/>
  </c:pivotSource>
  <c:chart>
    <c:title>
      <c:tx>
        <c:rich>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r>
              <a:rPr lang="en-US" b="1">
                <a:latin typeface="Aptos Slab Black" panose="020B0004020202020204" pitchFamily="34" charset="0"/>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endParaRPr lang="en-US"/>
        </a:p>
      </c:txPr>
    </c:title>
    <c:autoTitleDeleted val="0"/>
    <c:pivotFmts>
      <c:pivotFmt>
        <c:idx val="0"/>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E8990"/>
          </a:solidFill>
          <a:ln>
            <a:noFill/>
          </a:ln>
          <a:effectLst/>
        </c:spPr>
      </c:pivotFmt>
      <c:pivotFmt>
        <c:idx val="2"/>
        <c:spPr>
          <a:solidFill>
            <a:srgbClr val="757E60"/>
          </a:solidFill>
          <a:ln>
            <a:noFill/>
          </a:ln>
          <a:effectLst/>
        </c:spPr>
      </c:pivotFmt>
      <c:pivotFmt>
        <c:idx val="3"/>
        <c:spPr>
          <a:solidFill>
            <a:srgbClr val="E9C6B2"/>
          </a:solidFill>
          <a:ln>
            <a:noFill/>
          </a:ln>
          <a:effectLst/>
        </c:spPr>
      </c:pivotFmt>
      <c:pivotFmt>
        <c:idx val="4"/>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9C6B2"/>
          </a:solidFill>
          <a:ln>
            <a:noFill/>
          </a:ln>
          <a:effectLst/>
        </c:spPr>
      </c:pivotFmt>
      <c:pivotFmt>
        <c:idx val="6"/>
        <c:spPr>
          <a:solidFill>
            <a:srgbClr val="757E60"/>
          </a:solidFill>
          <a:ln>
            <a:noFill/>
          </a:ln>
          <a:effectLst/>
        </c:spPr>
      </c:pivotFmt>
      <c:pivotFmt>
        <c:idx val="7"/>
        <c:spPr>
          <a:solidFill>
            <a:srgbClr val="CE8990"/>
          </a:solidFill>
          <a:ln>
            <a:noFill/>
          </a:ln>
          <a:effectLst/>
        </c:spPr>
      </c:pivotFmt>
      <c:pivotFmt>
        <c:idx val="8"/>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9C6B2"/>
          </a:solidFill>
          <a:ln>
            <a:noFill/>
          </a:ln>
          <a:effectLst/>
        </c:spPr>
      </c:pivotFmt>
      <c:pivotFmt>
        <c:idx val="10"/>
        <c:spPr>
          <a:solidFill>
            <a:srgbClr val="757E60"/>
          </a:solidFill>
          <a:ln>
            <a:noFill/>
          </a:ln>
          <a:effectLst/>
        </c:spPr>
      </c:pivotFmt>
      <c:pivotFmt>
        <c:idx val="11"/>
        <c:spPr>
          <a:solidFill>
            <a:srgbClr val="CE8990"/>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E9C6B2"/>
            </a:solidFill>
            <a:ln>
              <a:solidFill>
                <a:srgbClr val="CE8990"/>
              </a:solidFill>
            </a:ln>
            <a:effectLst/>
          </c:spPr>
          <c:invertIfNegative val="0"/>
          <c:dPt>
            <c:idx val="0"/>
            <c:invertIfNegative val="0"/>
            <c:bubble3D val="0"/>
            <c:spPr>
              <a:solidFill>
                <a:srgbClr val="E9C6B2"/>
              </a:solidFill>
              <a:ln>
                <a:noFill/>
              </a:ln>
              <a:effectLst/>
            </c:spPr>
            <c:extLst>
              <c:ext xmlns:c16="http://schemas.microsoft.com/office/drawing/2014/chart" uri="{C3380CC4-5D6E-409C-BE32-E72D297353CC}">
                <c16:uniqueId val="{00000001-DF8F-460D-B7FD-9494822871BA}"/>
              </c:ext>
            </c:extLst>
          </c:dPt>
          <c:dPt>
            <c:idx val="1"/>
            <c:invertIfNegative val="0"/>
            <c:bubble3D val="0"/>
            <c:spPr>
              <a:solidFill>
                <a:srgbClr val="757E60"/>
              </a:solidFill>
              <a:ln>
                <a:noFill/>
              </a:ln>
              <a:effectLst/>
            </c:spPr>
            <c:extLst>
              <c:ext xmlns:c16="http://schemas.microsoft.com/office/drawing/2014/chart" uri="{C3380CC4-5D6E-409C-BE32-E72D297353CC}">
                <c16:uniqueId val="{00000003-DF8F-460D-B7FD-9494822871BA}"/>
              </c:ext>
            </c:extLst>
          </c:dPt>
          <c:dPt>
            <c:idx val="2"/>
            <c:invertIfNegative val="0"/>
            <c:bubble3D val="0"/>
            <c:spPr>
              <a:solidFill>
                <a:srgbClr val="CE8990"/>
              </a:solidFill>
              <a:ln>
                <a:noFill/>
              </a:ln>
              <a:effectLst/>
            </c:spPr>
            <c:extLst>
              <c:ext xmlns:c16="http://schemas.microsoft.com/office/drawing/2014/chart" uri="{C3380CC4-5D6E-409C-BE32-E72D297353CC}">
                <c16:uniqueId val="{00000005-DF8F-460D-B7FD-9494822871BA}"/>
              </c:ext>
            </c:extLst>
          </c:dPt>
          <c:dLbls>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F8F-460D-B7FD-9494822871BA}"/>
            </c:ext>
          </c:extLst>
        </c:ser>
        <c:dLbls>
          <c:dLblPos val="outEnd"/>
          <c:showLegendKey val="0"/>
          <c:showVal val="1"/>
          <c:showCatName val="0"/>
          <c:showSerName val="0"/>
          <c:showPercent val="0"/>
          <c:showBubbleSize val="0"/>
        </c:dLbls>
        <c:gapWidth val="182"/>
        <c:axId val="409134128"/>
        <c:axId val="449692208"/>
      </c:barChart>
      <c:catAx>
        <c:axId val="409134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757E60"/>
                </a:solidFill>
                <a:latin typeface="Aptos Slab" panose="020B0004020202020204" pitchFamily="34" charset="0"/>
                <a:ea typeface="+mn-ea"/>
                <a:cs typeface="+mn-cs"/>
              </a:defRPr>
            </a:pPr>
            <a:endParaRPr lang="en-US"/>
          </a:p>
        </c:txPr>
        <c:crossAx val="449692208"/>
        <c:crosses val="autoZero"/>
        <c:auto val="1"/>
        <c:lblAlgn val="ctr"/>
        <c:lblOffset val="100"/>
        <c:noMultiLvlLbl val="0"/>
      </c:catAx>
      <c:valAx>
        <c:axId val="449692208"/>
        <c:scaling>
          <c:orientation val="minMax"/>
        </c:scaling>
        <c:delete val="0"/>
        <c:axPos val="b"/>
        <c:majorGridlines>
          <c:spPr>
            <a:ln w="9525" cap="flat" cmpd="sng" algn="ctr">
              <a:solidFill>
                <a:srgbClr val="E9C6B2"/>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757E60"/>
                </a:solidFill>
                <a:latin typeface="Aptos Slab" panose="020B0004020202020204" pitchFamily="34" charset="0"/>
                <a:ea typeface="+mn-ea"/>
                <a:cs typeface="+mn-cs"/>
              </a:defRPr>
            </a:pPr>
            <a:endParaRPr lang="en-US"/>
          </a:p>
        </c:txPr>
        <c:crossAx val="40913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DDD"/>
    </a:solidFill>
    <a:ln w="9525" cap="flat" cmpd="sng" algn="ctr">
      <a:solidFill>
        <a:srgbClr val="757E60"/>
      </a:solidFill>
      <a:round/>
    </a:ln>
    <a:effectLst/>
  </c:spPr>
  <c:txPr>
    <a:bodyPr/>
    <a:lstStyle/>
    <a:p>
      <a:pPr>
        <a:defRPr>
          <a:solidFill>
            <a:srgbClr val="757E60"/>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17"/>
  </c:pivotSource>
  <c:chart>
    <c:title>
      <c:tx>
        <c:rich>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r>
              <a:rPr lang="en-US" b="1">
                <a:latin typeface="Aptos Slab Black" panose="020B0004020202020204" pitchFamily="34" charset="0"/>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endParaRPr lang="en-US"/>
        </a:p>
      </c:txPr>
    </c:title>
    <c:autoTitleDeleted val="0"/>
    <c:pivotFmts>
      <c:pivotFmt>
        <c:idx val="0"/>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E8990"/>
          </a:solidFill>
          <a:ln>
            <a:noFill/>
          </a:ln>
          <a:effectLst/>
        </c:spPr>
      </c:pivotFmt>
      <c:pivotFmt>
        <c:idx val="2"/>
        <c:spPr>
          <a:solidFill>
            <a:srgbClr val="757E60"/>
          </a:solidFill>
          <a:ln>
            <a:noFill/>
          </a:ln>
          <a:effectLst/>
        </c:spPr>
      </c:pivotFmt>
      <c:pivotFmt>
        <c:idx val="3"/>
        <c:spPr>
          <a:solidFill>
            <a:srgbClr val="E9C6B2"/>
          </a:solidFill>
          <a:ln>
            <a:noFill/>
          </a:ln>
          <a:effectLst/>
        </c:spPr>
      </c:pivotFmt>
      <c:pivotFmt>
        <c:idx val="4"/>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9C6B2"/>
          </a:solidFill>
          <a:ln>
            <a:noFill/>
          </a:ln>
          <a:effectLst/>
        </c:spPr>
      </c:pivotFmt>
      <c:pivotFmt>
        <c:idx val="6"/>
        <c:spPr>
          <a:solidFill>
            <a:srgbClr val="757E60"/>
          </a:solidFill>
          <a:ln>
            <a:noFill/>
          </a:ln>
          <a:effectLst/>
        </c:spPr>
      </c:pivotFmt>
      <c:pivotFmt>
        <c:idx val="7"/>
        <c:spPr>
          <a:solidFill>
            <a:srgbClr val="CE8990"/>
          </a:solidFill>
          <a:ln>
            <a:noFill/>
          </a:ln>
          <a:effectLst/>
        </c:spPr>
      </c:pivotFmt>
      <c:pivotFmt>
        <c:idx val="8"/>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E9C6B2"/>
            </a:solidFill>
            <a:ln>
              <a:solidFill>
                <a:srgbClr val="CE8990"/>
              </a:solidFill>
            </a:ln>
            <a:effectLst/>
          </c:spPr>
          <c:invertIfNegative val="0"/>
          <c:dPt>
            <c:idx val="0"/>
            <c:invertIfNegative val="0"/>
            <c:bubble3D val="0"/>
            <c:extLst>
              <c:ext xmlns:c16="http://schemas.microsoft.com/office/drawing/2014/chart" uri="{C3380CC4-5D6E-409C-BE32-E72D297353CC}">
                <c16:uniqueId val="{00000000-913A-4F70-860D-77CBF7A773E9}"/>
              </c:ext>
            </c:extLst>
          </c:dPt>
          <c:dPt>
            <c:idx val="1"/>
            <c:invertIfNegative val="0"/>
            <c:bubble3D val="0"/>
            <c:extLst>
              <c:ext xmlns:c16="http://schemas.microsoft.com/office/drawing/2014/chart" uri="{C3380CC4-5D6E-409C-BE32-E72D297353CC}">
                <c16:uniqueId val="{00000001-913A-4F70-860D-77CBF7A773E9}"/>
              </c:ext>
            </c:extLst>
          </c:dPt>
          <c:dPt>
            <c:idx val="2"/>
            <c:invertIfNegative val="0"/>
            <c:bubble3D val="0"/>
            <c:extLst>
              <c:ext xmlns:c16="http://schemas.microsoft.com/office/drawing/2014/chart" uri="{C3380CC4-5D6E-409C-BE32-E72D297353CC}">
                <c16:uniqueId val="{00000002-913A-4F70-860D-77CBF7A773E9}"/>
              </c:ext>
            </c:extLst>
          </c:dPt>
          <c:dLbls>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13A-4F70-860D-77CBF7A773E9}"/>
            </c:ext>
          </c:extLst>
        </c:ser>
        <c:dLbls>
          <c:dLblPos val="outEnd"/>
          <c:showLegendKey val="0"/>
          <c:showVal val="1"/>
          <c:showCatName val="0"/>
          <c:showSerName val="0"/>
          <c:showPercent val="0"/>
          <c:showBubbleSize val="0"/>
        </c:dLbls>
        <c:gapWidth val="182"/>
        <c:axId val="409134128"/>
        <c:axId val="449692208"/>
      </c:barChart>
      <c:catAx>
        <c:axId val="409134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757E60"/>
                </a:solidFill>
                <a:latin typeface="Aptos Slab" panose="020B0004020202020204" pitchFamily="34" charset="0"/>
                <a:ea typeface="+mn-ea"/>
                <a:cs typeface="+mn-cs"/>
              </a:defRPr>
            </a:pPr>
            <a:endParaRPr lang="en-US"/>
          </a:p>
        </c:txPr>
        <c:crossAx val="449692208"/>
        <c:crosses val="autoZero"/>
        <c:auto val="1"/>
        <c:lblAlgn val="ctr"/>
        <c:lblOffset val="100"/>
        <c:noMultiLvlLbl val="0"/>
      </c:catAx>
      <c:valAx>
        <c:axId val="449692208"/>
        <c:scaling>
          <c:orientation val="minMax"/>
        </c:scaling>
        <c:delete val="0"/>
        <c:axPos val="b"/>
        <c:majorGridlines>
          <c:spPr>
            <a:ln w="9525" cap="flat" cmpd="sng" algn="ctr">
              <a:solidFill>
                <a:srgbClr val="E9C6B2"/>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757E60"/>
                </a:solidFill>
                <a:latin typeface="Aptos Slab" panose="020B0004020202020204" pitchFamily="34" charset="0"/>
                <a:ea typeface="+mn-ea"/>
                <a:cs typeface="+mn-cs"/>
              </a:defRPr>
            </a:pPr>
            <a:endParaRPr lang="en-US"/>
          </a:p>
        </c:txPr>
        <c:crossAx val="40913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DDD"/>
    </a:solidFill>
    <a:ln w="9525" cap="flat" cmpd="sng" algn="ctr">
      <a:solidFill>
        <a:srgbClr val="757E60"/>
      </a:solidFill>
      <a:round/>
    </a:ln>
    <a:effectLst/>
  </c:spPr>
  <c:txPr>
    <a:bodyPr/>
    <a:lstStyle/>
    <a:p>
      <a:pPr>
        <a:defRPr>
          <a:solidFill>
            <a:srgbClr val="757E60"/>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1"/>
  </c:pivotSource>
  <c:chart>
    <c:title>
      <c:tx>
        <c:rich>
          <a:bodyPr rot="0" spcFirstLastPara="1" vertOverflow="ellipsis" vert="horz" wrap="square" anchor="ctr" anchorCtr="1"/>
          <a:lstStyle/>
          <a:p>
            <a:pPr>
              <a:defRPr sz="1400" b="0" i="0" u="none" strike="noStrike" kern="1200" spc="0" baseline="0">
                <a:solidFill>
                  <a:srgbClr val="757E60"/>
                </a:solidFill>
                <a:latin typeface="Aptos Slab" panose="020B0004020202020204" pitchFamily="34" charset="0"/>
                <a:ea typeface="+mn-ea"/>
                <a:cs typeface="+mn-cs"/>
              </a:defRPr>
            </a:pPr>
            <a:r>
              <a:rPr lang="en-PH"/>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57E60"/>
              </a:solidFill>
              <a:latin typeface="Aptos Slab" panose="020B0004020202020204" pitchFamily="34" charset="0"/>
              <a:ea typeface="+mn-ea"/>
              <a:cs typeface="+mn-cs"/>
            </a:defRPr>
          </a:pPr>
          <a:endParaRPr lang="en-US"/>
        </a:p>
      </c:txPr>
    </c:title>
    <c:autoTitleDeleted val="0"/>
    <c:pivotFmts>
      <c:pivotFmt>
        <c:idx val="0"/>
        <c:spPr>
          <a:ln w="28575" cap="rnd">
            <a:solidFill>
              <a:srgbClr val="757E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E89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9C6B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E6B0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57E60"/>
                  </a:solidFill>
                  <a:latin typeface="Aptos Slab"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57E6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4912-44D6-8728-98FDE3E9BC07}"/>
            </c:ext>
          </c:extLst>
        </c:ser>
        <c:ser>
          <c:idx val="1"/>
          <c:order val="1"/>
          <c:tx>
            <c:strRef>
              <c:f>TotalSales!$D$3:$D$4</c:f>
              <c:strCache>
                <c:ptCount val="1"/>
                <c:pt idx="0">
                  <c:v>Excelsa</c:v>
                </c:pt>
              </c:strCache>
            </c:strRef>
          </c:tx>
          <c:spPr>
            <a:ln w="28575" cap="rnd">
              <a:solidFill>
                <a:srgbClr val="CE899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4912-44D6-8728-98FDE3E9BC07}"/>
            </c:ext>
          </c:extLst>
        </c:ser>
        <c:ser>
          <c:idx val="2"/>
          <c:order val="2"/>
          <c:tx>
            <c:strRef>
              <c:f>TotalSales!$E$3:$E$4</c:f>
              <c:strCache>
                <c:ptCount val="1"/>
                <c:pt idx="0">
                  <c:v>Liberica</c:v>
                </c:pt>
              </c:strCache>
            </c:strRef>
          </c:tx>
          <c:spPr>
            <a:ln w="28575" cap="rnd">
              <a:solidFill>
                <a:srgbClr val="E9C6B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4912-44D6-8728-98FDE3E9BC07}"/>
            </c:ext>
          </c:extLst>
        </c:ser>
        <c:ser>
          <c:idx val="3"/>
          <c:order val="3"/>
          <c:tx>
            <c:strRef>
              <c:f>TotalSales!$F$3:$F$4</c:f>
              <c:strCache>
                <c:ptCount val="1"/>
                <c:pt idx="0">
                  <c:v>Robusta</c:v>
                </c:pt>
              </c:strCache>
            </c:strRef>
          </c:tx>
          <c:spPr>
            <a:ln w="28575" cap="rnd">
              <a:solidFill>
                <a:srgbClr val="E6B0B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4912-44D6-8728-98FDE3E9BC07}"/>
            </c:ext>
          </c:extLst>
        </c:ser>
        <c:dLbls>
          <c:showLegendKey val="0"/>
          <c:showVal val="0"/>
          <c:showCatName val="0"/>
          <c:showSerName val="0"/>
          <c:showPercent val="0"/>
          <c:showBubbleSize val="0"/>
        </c:dLbls>
        <c:smooth val="0"/>
        <c:axId val="11271088"/>
        <c:axId val="1778591343"/>
      </c:lineChart>
      <c:catAx>
        <c:axId val="112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57E60"/>
                </a:solidFill>
                <a:latin typeface="Aptos Display" panose="020B0004020202020204" pitchFamily="34" charset="0"/>
                <a:ea typeface="+mn-ea"/>
                <a:cs typeface="+mn-cs"/>
              </a:defRPr>
            </a:pPr>
            <a:endParaRPr lang="en-US"/>
          </a:p>
        </c:txPr>
        <c:crossAx val="1778591343"/>
        <c:crosses val="autoZero"/>
        <c:auto val="1"/>
        <c:lblAlgn val="ctr"/>
        <c:lblOffset val="100"/>
        <c:noMultiLvlLbl val="0"/>
      </c:catAx>
      <c:valAx>
        <c:axId val="1778591343"/>
        <c:scaling>
          <c:orientation val="minMax"/>
        </c:scaling>
        <c:delete val="0"/>
        <c:axPos val="l"/>
        <c:majorGridlines>
          <c:spPr>
            <a:ln w="9525" cap="flat" cmpd="sng" algn="ctr">
              <a:solidFill>
                <a:srgbClr val="EFCCD0"/>
              </a:solidFill>
              <a:round/>
            </a:ln>
            <a:effectLst/>
          </c:spPr>
        </c:majorGridlines>
        <c:title>
          <c:tx>
            <c:rich>
              <a:bodyPr rot="-5400000" spcFirstLastPara="1" vertOverflow="ellipsis" vert="horz" wrap="square" anchor="ctr" anchorCtr="1"/>
              <a:lstStyle/>
              <a:p>
                <a:pPr>
                  <a:defRPr sz="1000" b="0" i="0" u="none" strike="noStrike" kern="1200" baseline="0">
                    <a:solidFill>
                      <a:srgbClr val="757E60"/>
                    </a:solidFill>
                    <a:latin typeface="Aptos Slab" panose="020B0004020202020204" pitchFamily="34" charset="0"/>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57E60"/>
                  </a:solidFill>
                  <a:latin typeface="Aptos Slab" panose="020B0004020202020204" pitchFamily="34" charset="0"/>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crossAx val="1127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DDD"/>
    </a:solidFill>
    <a:ln w="9525" cap="flat" cmpd="sng" algn="ctr">
      <a:solidFill>
        <a:schemeClr val="tx1">
          <a:lumMod val="15000"/>
          <a:lumOff val="85000"/>
        </a:schemeClr>
      </a:solidFill>
      <a:round/>
    </a:ln>
    <a:effectLst/>
  </c:spPr>
  <c:txPr>
    <a:bodyPr/>
    <a:lstStyle/>
    <a:p>
      <a:pPr>
        <a:defRPr>
          <a:solidFill>
            <a:srgbClr val="757E60"/>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9"/>
  </c:pivotSource>
  <c:chart>
    <c:title>
      <c:tx>
        <c:rich>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r>
              <a:rPr lang="en-US" b="1">
                <a:latin typeface="Aptos Slab Black" panose="020B0004020202020204" pitchFamily="34" charset="0"/>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endParaRPr lang="en-US"/>
        </a:p>
      </c:txPr>
    </c:title>
    <c:autoTitleDeleted val="0"/>
    <c:pivotFmts>
      <c:pivotFmt>
        <c:idx val="0"/>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E8990"/>
          </a:solidFill>
          <a:ln>
            <a:noFill/>
          </a:ln>
          <a:effectLst/>
        </c:spPr>
      </c:pivotFmt>
      <c:pivotFmt>
        <c:idx val="2"/>
        <c:spPr>
          <a:solidFill>
            <a:srgbClr val="757E60"/>
          </a:solidFill>
          <a:ln>
            <a:noFill/>
          </a:ln>
          <a:effectLst/>
        </c:spPr>
      </c:pivotFmt>
      <c:pivotFmt>
        <c:idx val="3"/>
        <c:spPr>
          <a:solidFill>
            <a:srgbClr val="E9C6B2"/>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E9C6B2"/>
            </a:solidFill>
            <a:ln>
              <a:solidFill>
                <a:srgbClr val="CE8990"/>
              </a:solidFill>
            </a:ln>
            <a:effectLst/>
          </c:spPr>
          <c:invertIfNegative val="0"/>
          <c:dPt>
            <c:idx val="0"/>
            <c:invertIfNegative val="0"/>
            <c:bubble3D val="0"/>
            <c:spPr>
              <a:solidFill>
                <a:srgbClr val="E9C6B2"/>
              </a:solidFill>
              <a:ln>
                <a:noFill/>
              </a:ln>
              <a:effectLst/>
            </c:spPr>
            <c:extLst>
              <c:ext xmlns:c16="http://schemas.microsoft.com/office/drawing/2014/chart" uri="{C3380CC4-5D6E-409C-BE32-E72D297353CC}">
                <c16:uniqueId val="{00000004-506F-480F-B1A3-4B06B0FF8F61}"/>
              </c:ext>
            </c:extLst>
          </c:dPt>
          <c:dPt>
            <c:idx val="1"/>
            <c:invertIfNegative val="0"/>
            <c:bubble3D val="0"/>
            <c:spPr>
              <a:solidFill>
                <a:srgbClr val="757E60"/>
              </a:solidFill>
              <a:ln>
                <a:noFill/>
              </a:ln>
              <a:effectLst/>
            </c:spPr>
            <c:extLst>
              <c:ext xmlns:c16="http://schemas.microsoft.com/office/drawing/2014/chart" uri="{C3380CC4-5D6E-409C-BE32-E72D297353CC}">
                <c16:uniqueId val="{00000003-506F-480F-B1A3-4B06B0FF8F61}"/>
              </c:ext>
            </c:extLst>
          </c:dPt>
          <c:dPt>
            <c:idx val="2"/>
            <c:invertIfNegative val="0"/>
            <c:bubble3D val="0"/>
            <c:spPr>
              <a:solidFill>
                <a:srgbClr val="CE8990"/>
              </a:solidFill>
              <a:ln>
                <a:noFill/>
              </a:ln>
              <a:effectLst/>
            </c:spPr>
            <c:extLst>
              <c:ext xmlns:c16="http://schemas.microsoft.com/office/drawing/2014/chart" uri="{C3380CC4-5D6E-409C-BE32-E72D297353CC}">
                <c16:uniqueId val="{00000002-506F-480F-B1A3-4B06B0FF8F61}"/>
              </c:ext>
            </c:extLst>
          </c:dPt>
          <c:dLbls>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06F-480F-B1A3-4B06B0FF8F61}"/>
            </c:ext>
          </c:extLst>
        </c:ser>
        <c:dLbls>
          <c:dLblPos val="outEnd"/>
          <c:showLegendKey val="0"/>
          <c:showVal val="1"/>
          <c:showCatName val="0"/>
          <c:showSerName val="0"/>
          <c:showPercent val="0"/>
          <c:showBubbleSize val="0"/>
        </c:dLbls>
        <c:gapWidth val="182"/>
        <c:axId val="409134128"/>
        <c:axId val="449692208"/>
      </c:barChart>
      <c:catAx>
        <c:axId val="409134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757E60"/>
                </a:solidFill>
                <a:latin typeface="Aptos Slab" panose="020B0004020202020204" pitchFamily="34" charset="0"/>
                <a:ea typeface="+mn-ea"/>
                <a:cs typeface="+mn-cs"/>
              </a:defRPr>
            </a:pPr>
            <a:endParaRPr lang="en-US"/>
          </a:p>
        </c:txPr>
        <c:crossAx val="449692208"/>
        <c:crosses val="autoZero"/>
        <c:auto val="1"/>
        <c:lblAlgn val="ctr"/>
        <c:lblOffset val="100"/>
        <c:noMultiLvlLbl val="0"/>
      </c:catAx>
      <c:valAx>
        <c:axId val="449692208"/>
        <c:scaling>
          <c:orientation val="minMax"/>
        </c:scaling>
        <c:delete val="0"/>
        <c:axPos val="b"/>
        <c:majorGridlines>
          <c:spPr>
            <a:ln w="9525" cap="flat" cmpd="sng" algn="ctr">
              <a:solidFill>
                <a:srgbClr val="E9C6B2"/>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757E60"/>
                </a:solidFill>
                <a:latin typeface="Aptos Slab" panose="020B0004020202020204" pitchFamily="34" charset="0"/>
                <a:ea typeface="+mn-ea"/>
                <a:cs typeface="+mn-cs"/>
              </a:defRPr>
            </a:pPr>
            <a:endParaRPr lang="en-US"/>
          </a:p>
        </c:txPr>
        <c:crossAx val="40913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DDD"/>
    </a:solidFill>
    <a:ln w="9525" cap="flat" cmpd="sng" algn="ctr">
      <a:solidFill>
        <a:schemeClr val="tx1">
          <a:lumMod val="15000"/>
          <a:lumOff val="85000"/>
        </a:schemeClr>
      </a:solidFill>
      <a:round/>
    </a:ln>
    <a:effectLst/>
  </c:spPr>
  <c:txPr>
    <a:bodyPr/>
    <a:lstStyle/>
    <a:p>
      <a:pPr>
        <a:defRPr>
          <a:solidFill>
            <a:srgbClr val="757E60"/>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11"/>
  </c:pivotSource>
  <c:chart>
    <c:title>
      <c:tx>
        <c:rich>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r>
              <a:rPr lang="en-US" b="1">
                <a:latin typeface="Aptos Slab Black" panose="020B0004020202020204" pitchFamily="34" charset="0"/>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57E60"/>
              </a:solidFill>
              <a:latin typeface="Aptos Slab Black" panose="020B0004020202020204" pitchFamily="34" charset="0"/>
              <a:ea typeface="+mn-ea"/>
              <a:cs typeface="+mn-cs"/>
            </a:defRPr>
          </a:pPr>
          <a:endParaRPr lang="en-US"/>
        </a:p>
      </c:txPr>
    </c:title>
    <c:autoTitleDeleted val="0"/>
    <c:pivotFmts>
      <c:pivotFmt>
        <c:idx val="0"/>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E8990"/>
          </a:solidFill>
          <a:ln>
            <a:noFill/>
          </a:ln>
          <a:effectLst/>
        </c:spPr>
      </c:pivotFmt>
      <c:pivotFmt>
        <c:idx val="2"/>
        <c:spPr>
          <a:solidFill>
            <a:srgbClr val="757E60"/>
          </a:solidFill>
          <a:ln>
            <a:noFill/>
          </a:ln>
          <a:effectLst/>
        </c:spPr>
      </c:pivotFmt>
      <c:pivotFmt>
        <c:idx val="3"/>
        <c:spPr>
          <a:solidFill>
            <a:srgbClr val="E9C6B2"/>
          </a:solidFill>
          <a:ln>
            <a:noFill/>
          </a:ln>
          <a:effectLst/>
        </c:spPr>
      </c:pivotFmt>
      <c:pivotFmt>
        <c:idx val="4"/>
        <c:spPr>
          <a:solidFill>
            <a:srgbClr val="E9C6B2"/>
          </a:solidFill>
          <a:ln>
            <a:solidFill>
              <a:srgbClr val="CE899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9C6B2"/>
          </a:solidFill>
          <a:ln>
            <a:noFill/>
          </a:ln>
          <a:effectLst/>
        </c:spPr>
      </c:pivotFmt>
      <c:pivotFmt>
        <c:idx val="6"/>
        <c:spPr>
          <a:solidFill>
            <a:srgbClr val="757E60"/>
          </a:solidFill>
          <a:ln>
            <a:noFill/>
          </a:ln>
          <a:effectLst/>
        </c:spPr>
      </c:pivotFmt>
      <c:pivotFmt>
        <c:idx val="7"/>
        <c:spPr>
          <a:solidFill>
            <a:srgbClr val="CE8990"/>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E9C6B2"/>
            </a:solidFill>
            <a:ln>
              <a:solidFill>
                <a:srgbClr val="CE8990"/>
              </a:solidFill>
            </a:ln>
            <a:effectLst/>
          </c:spPr>
          <c:invertIfNegative val="0"/>
          <c:dPt>
            <c:idx val="0"/>
            <c:invertIfNegative val="0"/>
            <c:bubble3D val="0"/>
            <c:extLst>
              <c:ext xmlns:c16="http://schemas.microsoft.com/office/drawing/2014/chart" uri="{C3380CC4-5D6E-409C-BE32-E72D297353CC}">
                <c16:uniqueId val="{00000001-4FE4-4386-98F1-44BA24491B38}"/>
              </c:ext>
            </c:extLst>
          </c:dPt>
          <c:dPt>
            <c:idx val="1"/>
            <c:invertIfNegative val="0"/>
            <c:bubble3D val="0"/>
            <c:extLst>
              <c:ext xmlns:c16="http://schemas.microsoft.com/office/drawing/2014/chart" uri="{C3380CC4-5D6E-409C-BE32-E72D297353CC}">
                <c16:uniqueId val="{00000003-4FE4-4386-98F1-44BA24491B38}"/>
              </c:ext>
            </c:extLst>
          </c:dPt>
          <c:dPt>
            <c:idx val="2"/>
            <c:invertIfNegative val="0"/>
            <c:bubble3D val="0"/>
            <c:extLst>
              <c:ext xmlns:c16="http://schemas.microsoft.com/office/drawing/2014/chart" uri="{C3380CC4-5D6E-409C-BE32-E72D297353CC}">
                <c16:uniqueId val="{00000005-4FE4-4386-98F1-44BA24491B38}"/>
              </c:ext>
            </c:extLst>
          </c:dPt>
          <c:dLbls>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4FE4-4386-98F1-44BA24491B38}"/>
            </c:ext>
          </c:extLst>
        </c:ser>
        <c:dLbls>
          <c:dLblPos val="outEnd"/>
          <c:showLegendKey val="0"/>
          <c:showVal val="1"/>
          <c:showCatName val="0"/>
          <c:showSerName val="0"/>
          <c:showPercent val="0"/>
          <c:showBubbleSize val="0"/>
        </c:dLbls>
        <c:gapWidth val="182"/>
        <c:axId val="409134128"/>
        <c:axId val="449692208"/>
      </c:barChart>
      <c:catAx>
        <c:axId val="409134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757E60"/>
                </a:solidFill>
                <a:latin typeface="Aptos Slab" panose="020B0004020202020204" pitchFamily="34" charset="0"/>
                <a:ea typeface="+mn-ea"/>
                <a:cs typeface="+mn-cs"/>
              </a:defRPr>
            </a:pPr>
            <a:endParaRPr lang="en-US"/>
          </a:p>
        </c:txPr>
        <c:crossAx val="449692208"/>
        <c:crosses val="autoZero"/>
        <c:auto val="1"/>
        <c:lblAlgn val="ctr"/>
        <c:lblOffset val="100"/>
        <c:noMultiLvlLbl val="0"/>
      </c:catAx>
      <c:valAx>
        <c:axId val="449692208"/>
        <c:scaling>
          <c:orientation val="minMax"/>
        </c:scaling>
        <c:delete val="0"/>
        <c:axPos val="b"/>
        <c:majorGridlines>
          <c:spPr>
            <a:ln w="9525" cap="flat" cmpd="sng" algn="ctr">
              <a:solidFill>
                <a:srgbClr val="E9C6B2"/>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757E60"/>
                </a:solidFill>
                <a:latin typeface="Aptos Slab" panose="020B0004020202020204" pitchFamily="34" charset="0"/>
                <a:ea typeface="+mn-ea"/>
                <a:cs typeface="+mn-cs"/>
              </a:defRPr>
            </a:pPr>
            <a:endParaRPr lang="en-US"/>
          </a:p>
        </c:txPr>
        <c:crossAx val="40913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57E60"/>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DDD"/>
    </a:solidFill>
    <a:ln w="9525" cap="flat" cmpd="sng" algn="ctr">
      <a:solidFill>
        <a:schemeClr val="tx1">
          <a:lumMod val="15000"/>
          <a:lumOff val="85000"/>
        </a:schemeClr>
      </a:solidFill>
      <a:round/>
    </a:ln>
    <a:effectLst/>
  </c:spPr>
  <c:txPr>
    <a:bodyPr/>
    <a:lstStyle/>
    <a:p>
      <a:pPr>
        <a:defRPr>
          <a:solidFill>
            <a:srgbClr val="757E60"/>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7AF2232D-3EB6-BFB6-52E3-662C91A2C680}"/>
            </a:ext>
          </a:extLst>
        </xdr:cNvPr>
        <xdr:cNvSpPr/>
      </xdr:nvSpPr>
      <xdr:spPr>
        <a:xfrm>
          <a:off x="381000" y="215348"/>
          <a:ext cx="15322826" cy="762000"/>
        </a:xfrm>
        <a:prstGeom prst="rect">
          <a:avLst/>
        </a:prstGeom>
        <a:solidFill>
          <a:srgbClr val="757E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2400">
              <a:solidFill>
                <a:srgbClr val="E9C6B2"/>
              </a:solidFill>
              <a:latin typeface="Aptos Slab Black" panose="020B0004020202020204" pitchFamily="34" charset="0"/>
            </a:rPr>
            <a:t>Coffee</a:t>
          </a:r>
          <a:r>
            <a:rPr lang="en-PH" sz="2400" baseline="0">
              <a:solidFill>
                <a:srgbClr val="E9C6B2"/>
              </a:solidFill>
              <a:latin typeface="Aptos Slab Black" panose="020B0004020202020204" pitchFamily="34" charset="0"/>
            </a:rPr>
            <a:t> Sales Dashboard </a:t>
          </a:r>
          <a:endParaRPr lang="en-PH" sz="2400">
            <a:solidFill>
              <a:srgbClr val="E9C6B2"/>
            </a:solidFill>
            <a:latin typeface="Aptos Slab Black" panose="020B0004020202020204" pitchFamily="34" charset="0"/>
          </a:endParaRPr>
        </a:p>
      </xdr:txBody>
    </xdr:sp>
    <xdr:clientData/>
  </xdr:twoCellAnchor>
  <xdr:twoCellAnchor>
    <xdr:from>
      <xdr:col>1</xdr:col>
      <xdr:colOff>5442</xdr:colOff>
      <xdr:row>17</xdr:row>
      <xdr:rowOff>13607</xdr:rowOff>
    </xdr:from>
    <xdr:to>
      <xdr:col>13</xdr:col>
      <xdr:colOff>593912</xdr:colOff>
      <xdr:row>39</xdr:row>
      <xdr:rowOff>179294</xdr:rowOff>
    </xdr:to>
    <xdr:graphicFrame macro="">
      <xdr:nvGraphicFramePr>
        <xdr:cNvPr id="3" name="Chart 2">
          <a:extLst>
            <a:ext uri="{FF2B5EF4-FFF2-40B4-BE49-F238E27FC236}">
              <a16:creationId xmlns:a16="http://schemas.microsoft.com/office/drawing/2014/main" id="{2B634701-B7FA-428E-8132-BBACEA811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11205</xdr:rowOff>
    </xdr:from>
    <xdr:to>
      <xdr:col>17</xdr:col>
      <xdr:colOff>627530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244E24F8-D643-418E-98FA-D4C7827FF73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80147" y="1098176"/>
              <a:ext cx="9849971" cy="1792942"/>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19</xdr:col>
      <xdr:colOff>6804</xdr:colOff>
      <xdr:row>11</xdr:row>
      <xdr:rowOff>13607</xdr:rowOff>
    </xdr:from>
    <xdr:to>
      <xdr:col>22</xdr:col>
      <xdr:colOff>13607</xdr:colOff>
      <xdr:row>16</xdr:row>
      <xdr:rowOff>4081</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4D89A163-6A49-47AE-A285-157759863B0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305010" y="1952225"/>
              <a:ext cx="1822156" cy="9429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17690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68198BC9-3DE6-4E4D-AA98-8F278D62BA0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298206" y="1104661"/>
              <a:ext cx="3731559" cy="7443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13608</xdr:colOff>
      <xdr:row>11</xdr:row>
      <xdr:rowOff>4084</xdr:rowOff>
    </xdr:from>
    <xdr:to>
      <xdr:col>26</xdr:col>
      <xdr:colOff>23131</xdr:colOff>
      <xdr:row>16</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52799A2C-1306-4EF7-A04A-907DCD059DD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228020" y="1942702"/>
              <a:ext cx="1824876" cy="9484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11206</xdr:colOff>
      <xdr:row>17</xdr:row>
      <xdr:rowOff>13607</xdr:rowOff>
    </xdr:from>
    <xdr:to>
      <xdr:col>26</xdr:col>
      <xdr:colOff>13607</xdr:colOff>
      <xdr:row>26</xdr:row>
      <xdr:rowOff>179294</xdr:rowOff>
    </xdr:to>
    <xdr:graphicFrame macro="">
      <xdr:nvGraphicFramePr>
        <xdr:cNvPr id="8" name="Chart 7">
          <a:extLst>
            <a:ext uri="{FF2B5EF4-FFF2-40B4-BE49-F238E27FC236}">
              <a16:creationId xmlns:a16="http://schemas.microsoft.com/office/drawing/2014/main" id="{03A7DAD2-8EA0-497F-A427-F73BBB814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28</xdr:row>
      <xdr:rowOff>0</xdr:rowOff>
    </xdr:from>
    <xdr:to>
      <xdr:col>26</xdr:col>
      <xdr:colOff>11207</xdr:colOff>
      <xdr:row>39</xdr:row>
      <xdr:rowOff>180975</xdr:rowOff>
    </xdr:to>
    <xdr:graphicFrame macro="">
      <xdr:nvGraphicFramePr>
        <xdr:cNvPr id="9" name="Chart 8">
          <a:extLst>
            <a:ext uri="{FF2B5EF4-FFF2-40B4-BE49-F238E27FC236}">
              <a16:creationId xmlns:a16="http://schemas.microsoft.com/office/drawing/2014/main" id="{D88FD1BA-2B85-4F17-BAA6-DB1451CB5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590550</xdr:colOff>
      <xdr:row>22</xdr:row>
      <xdr:rowOff>161925</xdr:rowOff>
    </xdr:from>
    <xdr:to>
      <xdr:col>18</xdr:col>
      <xdr:colOff>228600</xdr:colOff>
      <xdr:row>39</xdr:row>
      <xdr:rowOff>133350</xdr:rowOff>
    </xdr:to>
    <xdr:graphicFrame macro="">
      <xdr:nvGraphicFramePr>
        <xdr:cNvPr id="2" name="Chart 1">
          <a:extLst>
            <a:ext uri="{FF2B5EF4-FFF2-40B4-BE49-F238E27FC236}">
              <a16:creationId xmlns:a16="http://schemas.microsoft.com/office/drawing/2014/main" id="{3988DE68-F4A9-FD60-1C81-0963AB2BD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228600</xdr:colOff>
      <xdr:row>15</xdr:row>
      <xdr:rowOff>38100</xdr:rowOff>
    </xdr:from>
    <xdr:to>
      <xdr:col>18</xdr:col>
      <xdr:colOff>476250</xdr:colOff>
      <xdr:row>22</xdr:row>
      <xdr:rowOff>76200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9673664-230D-C437-E91B-C96DA32416A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76950" y="2895600"/>
              <a:ext cx="6953250" cy="1371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19</xdr:col>
      <xdr:colOff>266700</xdr:colOff>
      <xdr:row>13</xdr:row>
      <xdr:rowOff>19051</xdr:rowOff>
    </xdr:from>
    <xdr:to>
      <xdr:col>23</xdr:col>
      <xdr:colOff>266700</xdr:colOff>
      <xdr:row>18</xdr:row>
      <xdr:rowOff>9525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17DAA597-FDDB-2DB0-B537-80679148BFF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430250" y="2495551"/>
              <a:ext cx="2438400" cy="9429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19</xdr:row>
      <xdr:rowOff>9526</xdr:rowOff>
    </xdr:from>
    <xdr:to>
      <xdr:col>23</xdr:col>
      <xdr:colOff>266700</xdr:colOff>
      <xdr:row>24</xdr:row>
      <xdr:rowOff>19050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B2743B2F-6994-4C26-18A2-E1BFE57E382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430250" y="3629026"/>
              <a:ext cx="2438400" cy="96202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25</xdr:row>
      <xdr:rowOff>9525</xdr:rowOff>
    </xdr:from>
    <xdr:to>
      <xdr:col>23</xdr:col>
      <xdr:colOff>266700</xdr:colOff>
      <xdr:row>30</xdr:row>
      <xdr:rowOff>57150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9291A1CE-4024-7D45-2654-22440A93AA5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430250" y="4772025"/>
              <a:ext cx="2438400" cy="1000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1019175</xdr:colOff>
      <xdr:row>7</xdr:row>
      <xdr:rowOff>19049</xdr:rowOff>
    </xdr:from>
    <xdr:to>
      <xdr:col>12</xdr:col>
      <xdr:colOff>476250</xdr:colOff>
      <xdr:row>23</xdr:row>
      <xdr:rowOff>123824</xdr:rowOff>
    </xdr:to>
    <xdr:graphicFrame macro="">
      <xdr:nvGraphicFramePr>
        <xdr:cNvPr id="7" name="Chart 6">
          <a:extLst>
            <a:ext uri="{FF2B5EF4-FFF2-40B4-BE49-F238E27FC236}">
              <a16:creationId xmlns:a16="http://schemas.microsoft.com/office/drawing/2014/main" id="{B55B1B5C-83F9-EF5E-C457-053E30301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800101</xdr:colOff>
      <xdr:row>1</xdr:row>
      <xdr:rowOff>190499</xdr:rowOff>
    </xdr:from>
    <xdr:to>
      <xdr:col>15</xdr:col>
      <xdr:colOff>0</xdr:colOff>
      <xdr:row>28</xdr:row>
      <xdr:rowOff>180975</xdr:rowOff>
    </xdr:to>
    <xdr:graphicFrame macro="">
      <xdr:nvGraphicFramePr>
        <xdr:cNvPr id="2" name="Chart 1">
          <a:extLst>
            <a:ext uri="{FF2B5EF4-FFF2-40B4-BE49-F238E27FC236}">
              <a16:creationId xmlns:a16="http://schemas.microsoft.com/office/drawing/2014/main" id="{EC281841-BFC1-47FD-B2F1-4DF45D17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Nicole Bayan" refreshedDate="46247.841657291669" createdVersion="8" refreshedVersion="8" minRefreshableVersion="3" recordCount="1000" xr:uid="{01C5B205-9EEA-4D45-8D7E-BA6C21DF062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2/01/2019"/>
          <s v="2019"/>
          <s v="2020"/>
          <s v="2021"/>
          <s v="2022"/>
          <s v="&gt;20/08/2022"/>
        </groupItems>
      </fieldGroup>
    </cacheField>
  </cacheFields>
  <extLst>
    <ext xmlns:x14="http://schemas.microsoft.com/office/spreadsheetml/2009/9/main" uri="{725AE2AE-9491-48be-B2B4-4EB974FC3084}">
      <x14:pivotCacheDefinition pivotCacheId="1961951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05133-2B7B-4320-8287-AED9BB7AC0B6}"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454CC5-A8DA-49AE-AA81-AD8823199E8C}"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1">
    <format dxfId="13">
      <pivotArea outline="0" collapsedLevelsAreSubtotals="1" fieldPosition="0"/>
    </format>
  </format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1"/>
          </reference>
        </references>
      </pivotArea>
    </chartFormat>
    <chartFormat chart="14" format="10">
      <pivotArea type="data" outline="0" fieldPosition="0">
        <references count="2">
          <reference field="4294967294" count="1" selected="0">
            <x v="0"/>
          </reference>
          <reference field="7" count="1" selected="0">
            <x v="0"/>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Retro Rose Style Pivot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D08D16-3739-41F5-B4F8-5E26CD8F3B94}"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1">
    <format dxfId="1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Retro Rose Style PivotTable"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AB16316-B5ED-4852-A208-8EB639DD5CC9}" sourceName="Size">
  <pivotTables>
    <pivotTable tabId="18" name="TotalSales"/>
    <pivotTable tabId="19" name="TotalSales"/>
    <pivotTable tabId="21" name="TotalSales"/>
  </pivotTables>
  <data>
    <tabular pivotCacheId="196195193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9EE2E56-D2C4-410D-AABF-C6550CF480B1}" sourceName="Roast Type Name">
  <pivotTables>
    <pivotTable tabId="18" name="TotalSales"/>
    <pivotTable tabId="19" name="TotalSales"/>
    <pivotTable tabId="21" name="TotalSales"/>
  </pivotTables>
  <data>
    <tabular pivotCacheId="19619519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632194B-3412-4830-A378-0B476E0B69D6}" sourceName="Loyalty Card">
  <pivotTables>
    <pivotTable tabId="18" name="TotalSales"/>
    <pivotTable tabId="19" name="TotalSales"/>
    <pivotTable tabId="21" name="TotalSales"/>
  </pivotTables>
  <data>
    <tabular pivotCacheId="19619519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5B0A18D7-6D9C-4B5C-B6B3-E6D4FDB4DBEF}" cache="Slicer_Size" caption="Size" columnCount="2" style="Slicer Style 1" rowHeight="241300"/>
  <slicer name="Roast Type Name 1" xr10:uid="{62CB959B-1EF5-40B4-A781-673C540F6053}" cache="Slicer_Roast_Type_Name" caption="Roast Type Name" columnCount="3" style="Slicer Style 1" rowHeight="241300"/>
  <slicer name="Loyalty Card 1" xr10:uid="{8C9CDC78-638F-4546-9BAC-83BC34500EB1}" cache="Slicer_Loyalty_Card" caption="Loyalty Car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48AECA9-E803-4966-A656-49A1AAB19F2A}" cache="Slicer_Size" caption="Size" columnCount="2" style="Slicer Style 1" rowHeight="241300"/>
  <slicer name="Roast Type Name" xr10:uid="{D079B331-E599-494A-9581-D7218F00BA2B}" cache="Slicer_Roast_Type_Name" caption="Roast Type Name" columnCount="3" style="Slicer Style 1" rowHeight="241300"/>
  <slicer name="Loyalty Card" xr10:uid="{FE3E759A-5B05-4FD8-A153-5244D6E7AAAF}"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51B42-8EE1-4B8D-A8CB-D22B1F925FF0}" name="Orders" displayName="Orders" ref="A1:P1001" totalsRowShown="0" headerRowDxfId="11">
  <autoFilter ref="A1:P1001" xr:uid="{C1E51B42-8EE1-4B8D-A8CB-D22B1F925FF0}"/>
  <tableColumns count="16">
    <tableColumn id="1" xr3:uid="{4A1610C7-1B45-4BB7-B5D3-CFD6E666A726}" name="Order ID" dataDxfId="10"/>
    <tableColumn id="2" xr3:uid="{78D5A348-1B1B-4253-A599-02898B853F37}" name="Order Date" dataDxfId="9"/>
    <tableColumn id="3" xr3:uid="{0FCE27C8-DC46-4EBD-941B-748CF2D8D340}" name="Customer ID" dataDxfId="8"/>
    <tableColumn id="4" xr3:uid="{CE7687CD-B045-4626-9FA1-BAB8DB9AD490}" name="Product ID"/>
    <tableColumn id="5" xr3:uid="{B208E612-E97A-4B98-B280-34DE86959B6C}" name="Quantity" dataDxfId="7"/>
    <tableColumn id="6" xr3:uid="{3E6A9286-EAE5-4491-BD7C-6ABFB627AD93}" name="Customer Name" dataDxfId="6">
      <calculatedColumnFormula>_xlfn.XLOOKUP(C2,customers!$A$1:$A$1001,customers!$B$1:$B$1001,,0)</calculatedColumnFormula>
    </tableColumn>
    <tableColumn id="7" xr3:uid="{D9897824-7420-4A41-9970-EC8D25C00DCE}" name="Email" dataDxfId="5">
      <calculatedColumnFormula>IF(_xlfn.XLOOKUP(C2,customers!$A$1:$A$1001,customers!$C$1:$C$1001,,0)=0,"",_xlfn.XLOOKUP(C2,customers!$A$1:$A$1001,customers!$C$1:$C$1001,,0))</calculatedColumnFormula>
    </tableColumn>
    <tableColumn id="8" xr3:uid="{71DDAB71-1304-4DBD-863B-6279777EBC2C}" name="Country" dataDxfId="4">
      <calculatedColumnFormula>_xlfn.XLOOKUP(C2,customers!$A$1:$A$1001,customers!$G$1:$G$1001,,0)</calculatedColumnFormula>
    </tableColumn>
    <tableColumn id="9" xr3:uid="{971D1EB9-2B85-42C8-845D-460E1AE17D44}" name="Coffee Type">
      <calculatedColumnFormula>INDEX(products!$A$1:$G$49,MATCH(orders!$D2,products!$A$1:$A$49,0),MATCH(orders!I$1,products!$A$1:$G$1,0))</calculatedColumnFormula>
    </tableColumn>
    <tableColumn id="10" xr3:uid="{17D02E02-77C4-493C-87C5-DE76D4E01C9C}" name="Roast Type">
      <calculatedColumnFormula>INDEX(products!$A$1:$G$49,MATCH(orders!$D2,products!$A$1:$A$49,0),MATCH(orders!J$1,products!$A$1:$G$1,0))</calculatedColumnFormula>
    </tableColumn>
    <tableColumn id="11" xr3:uid="{355C1790-252A-403E-8496-22C251707C55}" name="Size" dataDxfId="3">
      <calculatedColumnFormula>INDEX(products!$A$1:$G$49,MATCH(orders!$D2,products!$A$1:$A$49,0),MATCH(orders!K$1,products!$A$1:$G$1,0))</calculatedColumnFormula>
    </tableColumn>
    <tableColumn id="12" xr3:uid="{8C327989-0508-4F9E-A516-981CC301ADC0}" name="Unit Price" dataDxfId="2" dataCellStyle="Currency">
      <calculatedColumnFormula>INDEX(products!$A$1:$G$49,MATCH(orders!$D2,products!$A$1:$A$49,0),MATCH(orders!L$1,products!$A$1:$G$1,0))</calculatedColumnFormula>
    </tableColumn>
    <tableColumn id="13" xr3:uid="{13853067-A515-4B81-8809-144913C4F7E7}" name="Sales" dataDxfId="1" dataCellStyle="Currency">
      <calculatedColumnFormula>L2*E2</calculatedColumnFormula>
    </tableColumn>
    <tableColumn id="14" xr3:uid="{6F6A9CF1-B396-4A01-A7D2-00778B30BEE5}" name="Coffee Type Name">
      <calculatedColumnFormula>IF(I2="Rob","Robusta",IF(I2="Exc","Excelsa",IF(I2="Ara","Arabica",IF(I2="Lib","Liberica",""))))</calculatedColumnFormula>
    </tableColumn>
    <tableColumn id="15" xr3:uid="{9DD52EA1-8C33-4FF7-8B25-AFDA9C245BF5}" name="Roast Type Name">
      <calculatedColumnFormula>IF(J2="L","Light",IF(J2="M","Medium",IF(J2="D","Dark","")))</calculatedColumnFormula>
    </tableColumn>
    <tableColumn id="16" xr3:uid="{87B12E8C-7CFA-475D-A6E4-2CF0FF9FA12C}" name="Loyalty Card" dataDxfId="0">
      <calculatedColumnFormula>_xlfn.XLOOKUP(Orders[[#This Row],[Customer ID]],customers!$A$1:$A$1001,customers!$I$1:$I$1001,,0)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A4B3645-3E01-45BD-AC01-1F10EFAC1D9F}" sourceName="Order Date">
  <pivotTables>
    <pivotTable tabId="18" name="TotalSales"/>
    <pivotTable tabId="19" name="TotalSales"/>
    <pivotTable tabId="21" name="TotalSales"/>
  </pivotTables>
  <state minimalRefreshVersion="6" lastRefreshVersion="6" pivotCacheId="196195193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2E93C00-E190-47FF-BC2C-7EDBE6D49264}" cache="NativeTimeline_Order_Date" caption="Order Date" level="2" selectionLevel="2" scrollPosition="2020-09-26T00:00:00" style="Retro Ros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548B8A0-2AAF-45A4-8A3B-484E6919AFB6}" cache="NativeTimeline_Order_Date" caption="Order Date" level="2" selectionLevel="2" scrollPosition="2019-01-01T00:00:00" style="Retro Ros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F3E5-462B-45DE-8A44-7D3C88DF7B59}">
  <dimension ref="A1:AA71"/>
  <sheetViews>
    <sheetView tabSelected="1" zoomScaleNormal="100" workbookViewId="0"/>
  </sheetViews>
  <sheetFormatPr defaultColWidth="0" defaultRowHeight="15" zeroHeight="1" x14ac:dyDescent="0.25"/>
  <cols>
    <col min="1" max="1" width="4.140625" style="9" customWidth="1"/>
    <col min="2" max="14" width="9.140625" style="9" customWidth="1"/>
    <col min="15" max="15" width="2.140625" style="9" customWidth="1"/>
    <col min="16" max="17" width="9.140625" style="9" customWidth="1"/>
    <col min="18" max="18" width="9.7109375" style="9" customWidth="1"/>
    <col min="19" max="19" width="2.140625" style="9" customWidth="1"/>
    <col min="20" max="22" width="9.140625" style="9" customWidth="1"/>
    <col min="23" max="23" width="1.5703125" style="9" customWidth="1"/>
    <col min="24" max="26" width="9.140625" style="9" customWidth="1"/>
    <col min="27" max="27" width="2.42578125" style="9" customWidth="1"/>
    <col min="28" max="16384" width="9.140625" style="9" hidden="1"/>
  </cols>
  <sheetData>
    <row r="1" s="9" customFormat="1" ht="17.25" customHeight="1" x14ac:dyDescent="0.25"/>
    <row r="2" s="9" customFormat="1" x14ac:dyDescent="0.25"/>
    <row r="3" s="9" customFormat="1" x14ac:dyDescent="0.25"/>
    <row r="4" s="9" customFormat="1" x14ac:dyDescent="0.25"/>
    <row r="5" s="9" customFormat="1" x14ac:dyDescent="0.25"/>
    <row r="6" s="9" customFormat="1" ht="7.5" customHeight="1" x14ac:dyDescent="0.25"/>
    <row r="7" s="9" customFormat="1" x14ac:dyDescent="0.25"/>
    <row r="8" s="9" customFormat="1" x14ac:dyDescent="0.25"/>
    <row r="9" s="9" customFormat="1" x14ac:dyDescent="0.25"/>
    <row r="10" s="9" customFormat="1" x14ac:dyDescent="0.25"/>
    <row r="11" s="9" customFormat="1" ht="6.75" customHeight="1" x14ac:dyDescent="0.25"/>
    <row r="12" s="9" customFormat="1" x14ac:dyDescent="0.25"/>
    <row r="13" s="9" customFormat="1" x14ac:dyDescent="0.25"/>
    <row r="14" s="9" customFormat="1" x14ac:dyDescent="0.25"/>
    <row r="15" s="9" customFormat="1" x14ac:dyDescent="0.25"/>
    <row r="16" s="9" customFormat="1" x14ac:dyDescent="0.25"/>
    <row r="17" s="9" customFormat="1" ht="7.5" customHeight="1" x14ac:dyDescent="0.25"/>
    <row r="18" s="9" customFormat="1" x14ac:dyDescent="0.25"/>
    <row r="19" s="9" customFormat="1" x14ac:dyDescent="0.25"/>
    <row r="20" s="9" customFormat="1" x14ac:dyDescent="0.25"/>
    <row r="21" s="9" customFormat="1" x14ac:dyDescent="0.25"/>
    <row r="22" s="9" customFormat="1" x14ac:dyDescent="0.25"/>
    <row r="23" s="9" customFormat="1" x14ac:dyDescent="0.25"/>
    <row r="24" s="9" customFormat="1" x14ac:dyDescent="0.25"/>
    <row r="25" s="9" customFormat="1" x14ac:dyDescent="0.25"/>
    <row r="26" s="9" customFormat="1" x14ac:dyDescent="0.25"/>
    <row r="27" s="9" customFormat="1" x14ac:dyDescent="0.25"/>
    <row r="28" s="9" customFormat="1" ht="7.5" customHeight="1" x14ac:dyDescent="0.25"/>
    <row r="29" s="9" customFormat="1" x14ac:dyDescent="0.25"/>
    <row r="30" s="9" customFormat="1" x14ac:dyDescent="0.25"/>
    <row r="31" s="9" customFormat="1" x14ac:dyDescent="0.25"/>
    <row r="32" s="9" customFormat="1" x14ac:dyDescent="0.25"/>
    <row r="33" s="9" customFormat="1" x14ac:dyDescent="0.25"/>
    <row r="34" s="9" customFormat="1" x14ac:dyDescent="0.25"/>
    <row r="35" s="9" customFormat="1" x14ac:dyDescent="0.25"/>
    <row r="36" s="9" customFormat="1" x14ac:dyDescent="0.25"/>
    <row r="37" s="9" customFormat="1" x14ac:dyDescent="0.25"/>
    <row r="38" s="9" customFormat="1" x14ac:dyDescent="0.25"/>
    <row r="39" s="9" customFormat="1" x14ac:dyDescent="0.25"/>
    <row r="40" s="9" customFormat="1" x14ac:dyDescent="0.25"/>
    <row r="41" s="9" customFormat="1" x14ac:dyDescent="0.25"/>
    <row r="42" s="9" customFormat="1" hidden="1" x14ac:dyDescent="0.25"/>
    <row r="43" s="9" customFormat="1" hidden="1" x14ac:dyDescent="0.25"/>
    <row r="44" s="9" customFormat="1" hidden="1" x14ac:dyDescent="0.25"/>
    <row r="45" s="9" customFormat="1" hidden="1" x14ac:dyDescent="0.25"/>
    <row r="46" s="9" customFormat="1" hidden="1" x14ac:dyDescent="0.25"/>
    <row r="47" s="9" customFormat="1" hidden="1" x14ac:dyDescent="0.25"/>
    <row r="48" s="9" customFormat="1" hidden="1" x14ac:dyDescent="0.25"/>
    <row r="49" s="9" customFormat="1" hidden="1" x14ac:dyDescent="0.25"/>
    <row r="50" s="9" customFormat="1" hidden="1" x14ac:dyDescent="0.25"/>
    <row r="51" s="9" customFormat="1" hidden="1" x14ac:dyDescent="0.25"/>
    <row r="52" s="9" customFormat="1" hidden="1" x14ac:dyDescent="0.25"/>
    <row r="53" s="9" customFormat="1" hidden="1" x14ac:dyDescent="0.25"/>
    <row r="54" s="9" customFormat="1" hidden="1" x14ac:dyDescent="0.25"/>
    <row r="55" s="9" customFormat="1" hidden="1" x14ac:dyDescent="0.25"/>
    <row r="56" s="9" customFormat="1" hidden="1" x14ac:dyDescent="0.25"/>
    <row r="57" s="9" customFormat="1" hidden="1" x14ac:dyDescent="0.25"/>
    <row r="58" s="9" customFormat="1" hidden="1" x14ac:dyDescent="0.25"/>
    <row r="59" s="9" customFormat="1" hidden="1" x14ac:dyDescent="0.25"/>
    <row r="60" s="9" customFormat="1" hidden="1" x14ac:dyDescent="0.25"/>
    <row r="61" s="9" customFormat="1" hidden="1" x14ac:dyDescent="0.25"/>
    <row r="62" s="9" customFormat="1" hidden="1" x14ac:dyDescent="0.25"/>
    <row r="63" s="9" customFormat="1" hidden="1" x14ac:dyDescent="0.25"/>
    <row r="64" s="9" customFormat="1" hidden="1" x14ac:dyDescent="0.25"/>
    <row r="65" s="9" customFormat="1" hidden="1" x14ac:dyDescent="0.25"/>
    <row r="66" s="9" customFormat="1" hidden="1" x14ac:dyDescent="0.25"/>
    <row r="67" s="9" customFormat="1" hidden="1" x14ac:dyDescent="0.25"/>
    <row r="68" s="9" customFormat="1" hidden="1" x14ac:dyDescent="0.25"/>
    <row r="69" s="9" customFormat="1" hidden="1" x14ac:dyDescent="0.25"/>
    <row r="70" s="9" customFormat="1" hidden="1" x14ac:dyDescent="0.25"/>
    <row r="71" s="9"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6E01-AEEF-4E9E-8FD4-E50C4277F151}">
  <dimension ref="A3:F48"/>
  <sheetViews>
    <sheetView topLeftCell="A10" workbookViewId="0">
      <selection activeCell="B18" sqref="B18"/>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13AB-C4E2-4F42-82E6-AADB461E7A5B}">
  <dimension ref="A3:B12"/>
  <sheetViews>
    <sheetView workbookViewId="0">
      <selection activeCell="O22" sqref="O22"/>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row r="12" spans="1:2" x14ac:dyDescent="0.25">
      <c r="B12" s="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0748-12EA-4D4A-ADF5-86FFDA2AEC79}">
  <dimension ref="A3:B8"/>
  <sheetViews>
    <sheetView zoomScaleNormal="100" workbookViewId="0">
      <selection activeCell="Q31" sqref="Q31"/>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70" zoomScaleNormal="70" workbookViewId="0">
      <selection activeCell="O3" sqref="O3"/>
    </sheetView>
  </sheetViews>
  <sheetFormatPr defaultRowHeight="15" x14ac:dyDescent="0.25"/>
  <cols>
    <col min="1" max="1" width="16.5703125" bestFit="1" customWidth="1"/>
    <col min="2" max="2" width="15.42578125"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8.85546875" bestFit="1" customWidth="1"/>
    <col min="12" max="12" width="11.28515625" customWidth="1"/>
    <col min="13" max="13" width="10.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IF(J2="L","Light",IF(J2="M","Medium",IF(J2="D","Dark","")))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IF(I3="Rob","Robusta",IF(I3="Exc","Excelsa",IF(I3="Ara","Arabica",IF(I3="Lib","Liberica",""))))</f>
        <v>Excelsa</v>
      </c>
      <c r="O3" t="str">
        <f t="shared" ref="O3:O66" si="1">IF(J3="L","Light",IF(J3="M","Medium",IF(J3="D","Dark","")))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ref="N4:N66" si="2">IF(I4="Rob","Robusta",IF(I4="Exc","Excelsa",IF(I4="Ara","Arabica",IF(I4="Lib","Liberica",""))))</f>
        <v>Arabica</v>
      </c>
      <c r="O4" t="str">
        <f t="shared" si="1"/>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2"/>
        <v>Excelsa</v>
      </c>
      <c r="O5" t="str">
        <f t="shared" si="1"/>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2"/>
        <v>Robusta</v>
      </c>
      <c r="O6" t="str">
        <f t="shared" si="1"/>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2"/>
        <v>Liberica</v>
      </c>
      <c r="O7" t="str">
        <f t="shared" si="1"/>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2"/>
        <v>Excelsa</v>
      </c>
      <c r="O8" t="str">
        <f t="shared" si="1"/>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2"/>
        <v>Liberica</v>
      </c>
      <c r="O9" t="str">
        <f t="shared" si="1"/>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2"/>
        <v>Robusta</v>
      </c>
      <c r="O10" t="str">
        <f t="shared" si="1"/>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2"/>
        <v>Robusta</v>
      </c>
      <c r="O11" t="str">
        <f t="shared" si="1"/>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2"/>
        <v>Arabica</v>
      </c>
      <c r="O12" t="str">
        <f t="shared" si="1"/>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2"/>
        <v>Excelsa</v>
      </c>
      <c r="O13" t="str">
        <f t="shared" si="1"/>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2"/>
        <v>Robusta</v>
      </c>
      <c r="O14" t="str">
        <f t="shared" si="1"/>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2"/>
        <v>Robusta</v>
      </c>
      <c r="O15" t="str">
        <f t="shared" si="1"/>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2"/>
        <v>Liberica</v>
      </c>
      <c r="O16" t="str">
        <f t="shared" si="1"/>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2"/>
        <v>Robusta</v>
      </c>
      <c r="O17" t="str">
        <f t="shared" si="1"/>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2"/>
        <v>Arabica</v>
      </c>
      <c r="O18" t="str">
        <f t="shared" si="1"/>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2"/>
        <v>Arabica</v>
      </c>
      <c r="O19" t="str">
        <f t="shared" si="1"/>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2"/>
        <v>Robusta</v>
      </c>
      <c r="O20" t="str">
        <f t="shared" si="1"/>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2"/>
        <v>Arabica</v>
      </c>
      <c r="O21" t="str">
        <f t="shared" si="1"/>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2"/>
        <v>Excelsa</v>
      </c>
      <c r="O22" t="str">
        <f t="shared" si="1"/>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2"/>
        <v>Arabica</v>
      </c>
      <c r="O23" t="str">
        <f t="shared" si="1"/>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2"/>
        <v>Robusta</v>
      </c>
      <c r="O24" t="str">
        <f t="shared" si="1"/>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2"/>
        <v>Arabica</v>
      </c>
      <c r="O25" t="str">
        <f t="shared" si="1"/>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2"/>
        <v>Arabica</v>
      </c>
      <c r="O26" t="str">
        <f t="shared" si="1"/>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2"/>
        <v>Excelsa</v>
      </c>
      <c r="O27" t="str">
        <f t="shared" si="1"/>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2"/>
        <v>Arabica</v>
      </c>
      <c r="O28" t="str">
        <f t="shared" si="1"/>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2"/>
        <v>Arabica</v>
      </c>
      <c r="O29" t="str">
        <f t="shared" si="1"/>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2"/>
        <v>Arabica</v>
      </c>
      <c r="O30" t="str">
        <f t="shared" si="1"/>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2"/>
        <v>Arabica</v>
      </c>
      <c r="O31" t="str">
        <f t="shared" si="1"/>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2"/>
        <v>Liberica</v>
      </c>
      <c r="O32" t="str">
        <f t="shared" si="1"/>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2"/>
        <v>Arabica</v>
      </c>
      <c r="O33" t="str">
        <f t="shared" si="1"/>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2"/>
        <v>Liberica</v>
      </c>
      <c r="O34" t="str">
        <f t="shared" si="1"/>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2"/>
        <v>Liberica</v>
      </c>
      <c r="O35" t="str">
        <f t="shared" si="1"/>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2"/>
        <v>Liberica</v>
      </c>
      <c r="O36" t="str">
        <f t="shared" si="1"/>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2"/>
        <v>Arabica</v>
      </c>
      <c r="O37" t="str">
        <f t="shared" si="1"/>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2"/>
        <v>Liberica</v>
      </c>
      <c r="O38" t="str">
        <f t="shared" si="1"/>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2"/>
        <v>Liberica</v>
      </c>
      <c r="O39" t="str">
        <f t="shared" si="1"/>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2"/>
        <v>Robusta</v>
      </c>
      <c r="O40" t="str">
        <f t="shared" si="1"/>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2"/>
        <v>Robusta</v>
      </c>
      <c r="O41" t="str">
        <f t="shared" si="1"/>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2"/>
        <v>Liberica</v>
      </c>
      <c r="O42" t="str">
        <f t="shared" si="1"/>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2"/>
        <v>Excelsa</v>
      </c>
      <c r="O43" t="str">
        <f t="shared" si="1"/>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2"/>
        <v>Robusta</v>
      </c>
      <c r="O44" t="str">
        <f t="shared" si="1"/>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2"/>
        <v>Liberica</v>
      </c>
      <c r="O45" t="str">
        <f t="shared" si="1"/>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2"/>
        <v>Excelsa</v>
      </c>
      <c r="O46" t="str">
        <f t="shared" si="1"/>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2"/>
        <v>Liberica</v>
      </c>
      <c r="O47" t="str">
        <f t="shared" si="1"/>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2"/>
        <v>Excelsa</v>
      </c>
      <c r="O48" t="str">
        <f t="shared" si="1"/>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2"/>
        <v>Arabica</v>
      </c>
      <c r="O49" t="str">
        <f t="shared" si="1"/>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2"/>
        <v>Arabica</v>
      </c>
      <c r="O50" t="str">
        <f t="shared" si="1"/>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2"/>
        <v>Arabica</v>
      </c>
      <c r="O51" t="str">
        <f t="shared" si="1"/>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2"/>
        <v>Liberica</v>
      </c>
      <c r="O52" t="str">
        <f t="shared" si="1"/>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2"/>
        <v>Liberica</v>
      </c>
      <c r="O53" t="str">
        <f t="shared" si="1"/>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2"/>
        <v>Robusta</v>
      </c>
      <c r="O54" t="str">
        <f t="shared" si="1"/>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2"/>
        <v>Liberica</v>
      </c>
      <c r="O55" t="str">
        <f t="shared" si="1"/>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2"/>
        <v>Liberica</v>
      </c>
      <c r="O56" t="str">
        <f t="shared" si="1"/>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2"/>
        <v>Liberica</v>
      </c>
      <c r="O57" t="str">
        <f t="shared" si="1"/>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2"/>
        <v>Excelsa</v>
      </c>
      <c r="O58" t="str">
        <f t="shared" si="1"/>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2"/>
        <v>Excelsa</v>
      </c>
      <c r="O59" t="str">
        <f t="shared" si="1"/>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2"/>
        <v>Liberica</v>
      </c>
      <c r="O60" t="str">
        <f t="shared" si="1"/>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2"/>
        <v>Liberica</v>
      </c>
      <c r="O61" t="str">
        <f t="shared" si="1"/>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2"/>
        <v>Arabica</v>
      </c>
      <c r="O62" t="str">
        <f t="shared" si="1"/>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2"/>
        <v>Robusta</v>
      </c>
      <c r="O63" t="str">
        <f t="shared" si="1"/>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2"/>
        <v>Liberica</v>
      </c>
      <c r="O64" t="str">
        <f t="shared" si="1"/>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2"/>
        <v>Arabica</v>
      </c>
      <c r="O65" t="str">
        <f t="shared" si="1"/>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2"/>
        <v>Robusta</v>
      </c>
      <c r="O66" t="str">
        <f t="shared" si="1"/>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IF(J67="L","Light",IF(J67="M","Medium",IF(J67="D","Dark","")))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IF(J131="L","Light",IF(J131="M","Medium",IF(J131="D","Dark","")))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IF(J195="L","Light",IF(J195="M","Medium",IF(J195="D","Dark","")))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IF(J259="L","Light",IF(J259="M","Medium",IF(J259="D","Dark","")))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IF(J323="L","Light",IF(J323="M","Medium",IF(J323="D","Dark","")))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IF(J387="L","Light",IF(J387="M","Medium",IF(J387="D","Dark","")))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IF(J451="L","Light",IF(J451="M","Medium",IF(J451="D","Dark","")))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IF(J515="L","Light",IF(J515="M","Medium",IF(J515="D","Dark","")))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IF(J579="L","Light",IF(J579="M","Medium",IF(J579="D","Dark","")))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IF(J643="L","Light",IF(J643="M","Medium",IF(J643="D","Dark","")))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IF(J707="L","Light",IF(J707="M","Medium",IF(J707="D","Dark","")))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IF(J771="L","Light",IF(J771="M","Medium",IF(J771="D","Dark","")))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IF(J835="L","Light",IF(J835="M","Medium",IF(J835="D","Dark","")))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IF(J899="L","Light",IF(J899="M","Medium",IF(J899="D","Dark","")))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IF(J963="L","Light",IF(J963="M","Medium",IF(J963="D","Dark","")))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Normal="100" workbookViewId="0">
      <selection sqref="A1:I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60" zoomScaleNormal="160" workbookViewId="0">
      <selection activeCell="A19" sqref="A1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Katherine Nicole Bayan</cp:lastModifiedBy>
  <cp:revision/>
  <dcterms:created xsi:type="dcterms:W3CDTF">2022-11-26T09:51:45Z</dcterms:created>
  <dcterms:modified xsi:type="dcterms:W3CDTF">2026-08-21T06:06:14Z</dcterms:modified>
  <cp:category/>
  <cp:contentStatus/>
</cp:coreProperties>
</file>